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<sst xmlns="http://schemas.openxmlformats.org/spreadsheetml/2006/main" count="17" uniqueCount="17">
  <si>
    <t>Region</t>
  </si>
  <si>
    <t>Quarter</t>
  </si>
  <si>
    <t>Units</t>
  </si>
  <si>
    <t>Revenue</t>
  </si>
  <si>
    <t>Margin</t>
  </si>
  <si>
    <t>North America</t>
  </si>
  <si>
    <t>Q1</t>
  </si>
  <si>
    <t>Q2</t>
  </si>
  <si>
    <t>Q3</t>
  </si>
  <si>
    <t>Europe</t>
  </si>
  <si>
    <t>Asia Pacific</t>
  </si>
  <si>
    <t>Latin America</t>
  </si>
  <si>
    <t>Total</t>
  </si>
  <si>
    <t>Method notes</t>
  </si>
  <si>
    <t>Revenue is booked in euros at the monthly average rate of the quarter.</t>
  </si>
  <si>
    <t>Units count shipped devices; returned devices are subtracted in the quarter of the return.</t>
  </si>
  <si>
    <t>Margin is operating income divided by revenue before group allocations.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</si>
</sst>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2">
    <font>
      <sz val="11"/>
      <name val="Liberation Sans"/>
    </font>
    <font>
      <b/>
      <sz val="1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" customWidth="1"/>
    <col min="3" max="3" width="11" customWidth="1"/>
    <col min="4" max="4" width="16" customWidth="1"/>
    <col min="5" max="5" width="1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s="4">
        <v>900</v>
      </c>
      <c r="D2" s="2">
        <v>106650</v>
      </c>
      <c r="E2" s="3">
        <v>0.21</v>
      </c>
    </row>
    <row r="3">
      <c r="A3" t="s">
        <v>5</v>
      </c>
      <c r="B3" t="s">
        <v>7</v>
      </c>
      <c r="C3" s="4">
        <v>1037</v>
      </c>
      <c r="D3" s="2">
        <v>119255</v>
      </c>
      <c r="E3" s="3">
        <v>0.221</v>
      </c>
    </row>
    <row r="4">
      <c r="A4" t="s">
        <v>5</v>
      </c>
      <c r="B4" t="s">
        <v>8</v>
      </c>
      <c r="C4" s="4">
        <v>1174</v>
      </c>
      <c r="D4" s="2">
        <v>130901</v>
      </c>
      <c r="E4" s="3">
        <v>0.232</v>
      </c>
    </row>
    <row r="5">
      <c r="A5" t="s">
        <v>9</v>
      </c>
      <c r="B5" t="s">
        <v>6</v>
      </c>
      <c r="C5" s="4">
        <v>1352</v>
      </c>
      <c r="D5" s="2">
        <v>170014</v>
      </c>
      <c r="E5" s="3">
        <v>0.227</v>
      </c>
    </row>
    <row r="6">
      <c r="A6" t="s">
        <v>9</v>
      </c>
      <c r="B6" t="s">
        <v>7</v>
      </c>
      <c r="C6" s="4">
        <v>1489</v>
      </c>
      <c r="D6" s="2">
        <v>182030.25</v>
      </c>
      <c r="E6" s="3">
        <v>0.238</v>
      </c>
    </row>
    <row r="7">
      <c r="A7" t="s">
        <v>9</v>
      </c>
      <c r="B7" t="s">
        <v>8</v>
      </c>
      <c r="C7" s="4">
        <v>1626</v>
      </c>
      <c r="D7" s="2">
        <v>193087.5</v>
      </c>
      <c r="E7" s="3">
        <v>0.249</v>
      </c>
    </row>
    <row r="8">
      <c r="A8" t="s">
        <v>10</v>
      </c>
      <c r="B8" t="s">
        <v>6</v>
      </c>
      <c r="C8" s="4">
        <v>1804</v>
      </c>
      <c r="D8" s="2">
        <v>239932</v>
      </c>
      <c r="E8" s="3">
        <v>0.244</v>
      </c>
    </row>
    <row r="9">
      <c r="A9" t="s">
        <v>10</v>
      </c>
      <c r="B9" t="s">
        <v>7</v>
      </c>
      <c r="C9" s="4">
        <v>1941</v>
      </c>
      <c r="D9" s="2">
        <v>251359.5</v>
      </c>
      <c r="E9" s="3">
        <v>0.255</v>
      </c>
    </row>
    <row r="10">
      <c r="A10" t="s">
        <v>10</v>
      </c>
      <c r="B10" t="s">
        <v>8</v>
      </c>
      <c r="C10" s="4">
        <v>2078</v>
      </c>
      <c r="D10" s="2">
        <v>261828</v>
      </c>
      <c r="E10" s="3">
        <v>0.266</v>
      </c>
    </row>
    <row r="11">
      <c r="A11" t="s">
        <v>11</v>
      </c>
      <c r="B11" t="s">
        <v>6</v>
      </c>
      <c r="C11" s="4">
        <v>2256</v>
      </c>
      <c r="D11" s="2">
        <v>316404</v>
      </c>
      <c r="E11" s="3">
        <v>0.261</v>
      </c>
    </row>
    <row r="12">
      <c r="A12" t="s">
        <v>11</v>
      </c>
      <c r="B12" t="s">
        <v>7</v>
      </c>
      <c r="C12" s="4">
        <v>2393</v>
      </c>
      <c r="D12" s="2">
        <v>327242.75</v>
      </c>
      <c r="E12" s="3">
        <v>0.272</v>
      </c>
    </row>
    <row r="13">
      <c r="A13" t="s">
        <v>11</v>
      </c>
      <c r="B13" t="s">
        <v>8</v>
      </c>
      <c r="C13" s="4">
        <v>2530</v>
      </c>
      <c r="D13" s="2">
        <v>337122.5</v>
      </c>
      <c r="E13" s="3">
        <v>0.283</v>
      </c>
    </row>
    <row r="14">
      <c r="A14" t="s" s="1">
        <v>12</v>
      </c>
      <c r="C14" s="4">
        <f>SUM(C2:C13)</f>
        <v>20580</v>
      </c>
      <c r="D14" s="2">
        <f>SUM(D2:D13)</f>
        <v>2635826.5</v>
      </c>
      <c r="E14" s="3">
        <f>AVERAGE(E2:E13)</f>
        <v>0.2465</v>
      </c>
    </row>
  </sheetData>
</worksheet>
</file>

<file path=xl/worksheets/sheet2.xml><?xml version="1.0" encoding="utf-8"?>
<worksheet xmlns="http://schemas.openxmlformats.org/spreadsheetml/2006/main">
  <cols>
    <col min="1" max="1" width="70" customWidth="1"/>
  </cols>
  <sheetData>
    <row r="1">
      <c r="A1" t="s" s="1">
        <v>13</v>
      </c>
    </row>
    <row r="2">
      <c r="A2" t="s" s="5">
        <v>14</v>
      </c>
    </row>
    <row r="3">
      <c r="A3" t="s" s="5">
        <v>15</v>
      </c>
    </row>
    <row r="4">
      <c r="A4" t="s" s="5">
        <v>16</v>
      </c>
    </row>
  </sheetData>
</worksheet>
</file>